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D:\文档\0-账单\"/>
    </mc:Choice>
  </mc:AlternateContent>
  <xr:revisionPtr revIDLastSave="0" documentId="13_ncr:1_{EC52C9CD-9EC3-443C-844A-8E1AFDFB60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2" i="1" l="1"/>
  <c r="N32" i="1"/>
  <c r="M32" i="1"/>
  <c r="L32" i="1"/>
  <c r="K32" i="1"/>
  <c r="J32" i="1"/>
  <c r="I32" i="1"/>
  <c r="H32" i="1"/>
  <c r="G32" i="1"/>
  <c r="F32" i="1"/>
  <c r="E32" i="1"/>
  <c r="D32" i="1"/>
  <c r="C32" i="1"/>
  <c r="A32" i="1"/>
  <c r="B32" i="1" s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31" i="1"/>
  <c r="B31" i="1" s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A30" i="1"/>
  <c r="B30" i="1" s="1"/>
  <c r="O29" i="1"/>
  <c r="N29" i="1"/>
  <c r="M29" i="1"/>
  <c r="L29" i="1"/>
  <c r="K29" i="1"/>
  <c r="J29" i="1"/>
  <c r="I29" i="1"/>
  <c r="H29" i="1"/>
  <c r="G29" i="1"/>
  <c r="F29" i="1"/>
  <c r="E29" i="1"/>
  <c r="D29" i="1"/>
  <c r="C29" i="1" s="1"/>
  <c r="A29" i="1"/>
  <c r="B29" i="1" s="1"/>
  <c r="O28" i="1"/>
  <c r="N28" i="1"/>
  <c r="M28" i="1"/>
  <c r="L28" i="1"/>
  <c r="K28" i="1"/>
  <c r="J28" i="1"/>
  <c r="I28" i="1"/>
  <c r="H28" i="1"/>
  <c r="G28" i="1"/>
  <c r="F28" i="1"/>
  <c r="E28" i="1"/>
  <c r="D28" i="1"/>
  <c r="C28" i="1" s="1"/>
  <c r="A28" i="1"/>
  <c r="B28" i="1" s="1"/>
  <c r="O27" i="1"/>
  <c r="N27" i="1"/>
  <c r="M27" i="1"/>
  <c r="L27" i="1"/>
  <c r="K27" i="1"/>
  <c r="J27" i="1"/>
  <c r="I27" i="1"/>
  <c r="H27" i="1"/>
  <c r="G27" i="1"/>
  <c r="F27" i="1"/>
  <c r="E27" i="1"/>
  <c r="D27" i="1"/>
  <c r="C27" i="1" s="1"/>
  <c r="A27" i="1"/>
  <c r="B27" i="1" s="1"/>
  <c r="O26" i="1"/>
  <c r="N26" i="1"/>
  <c r="M26" i="1"/>
  <c r="L26" i="1"/>
  <c r="K26" i="1"/>
  <c r="J26" i="1"/>
  <c r="I26" i="1"/>
  <c r="H26" i="1"/>
  <c r="G26" i="1"/>
  <c r="F26" i="1"/>
  <c r="E26" i="1"/>
  <c r="D26" i="1"/>
  <c r="C26" i="1" s="1"/>
  <c r="A26" i="1"/>
  <c r="B26" i="1" s="1"/>
  <c r="AJ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 s="1"/>
  <c r="A25" i="1"/>
  <c r="B25" i="1" s="1"/>
  <c r="O24" i="1"/>
  <c r="N24" i="1"/>
  <c r="M24" i="1"/>
  <c r="L24" i="1"/>
  <c r="K24" i="1"/>
  <c r="J24" i="1"/>
  <c r="I24" i="1"/>
  <c r="H24" i="1"/>
  <c r="G24" i="1"/>
  <c r="F24" i="1"/>
  <c r="E24" i="1"/>
  <c r="D24" i="1"/>
  <c r="C24" i="1" s="1"/>
  <c r="A24" i="1"/>
  <c r="B24" i="1" s="1"/>
  <c r="O23" i="1"/>
  <c r="N23" i="1"/>
  <c r="M23" i="1"/>
  <c r="L23" i="1"/>
  <c r="K23" i="1"/>
  <c r="J23" i="1"/>
  <c r="I23" i="1"/>
  <c r="H23" i="1"/>
  <c r="G23" i="1"/>
  <c r="F23" i="1"/>
  <c r="E23" i="1"/>
  <c r="D23" i="1"/>
  <c r="C23" i="1" s="1"/>
  <c r="A23" i="1"/>
  <c r="B23" i="1" s="1"/>
  <c r="O22" i="1"/>
  <c r="N22" i="1"/>
  <c r="M22" i="1"/>
  <c r="L22" i="1"/>
  <c r="K22" i="1"/>
  <c r="J22" i="1"/>
  <c r="I22" i="1"/>
  <c r="H22" i="1"/>
  <c r="G22" i="1"/>
  <c r="F22" i="1"/>
  <c r="E22" i="1"/>
  <c r="D22" i="1"/>
  <c r="C22" i="1" s="1"/>
  <c r="A22" i="1"/>
  <c r="B22" i="1" s="1"/>
  <c r="O21" i="1"/>
  <c r="N21" i="1"/>
  <c r="M21" i="1"/>
  <c r="L21" i="1"/>
  <c r="K21" i="1"/>
  <c r="J21" i="1"/>
  <c r="I21" i="1"/>
  <c r="H21" i="1"/>
  <c r="G21" i="1"/>
  <c r="F21" i="1"/>
  <c r="E21" i="1"/>
  <c r="D21" i="1"/>
  <c r="C21" i="1" s="1"/>
  <c r="A21" i="1"/>
  <c r="B21" i="1" s="1"/>
  <c r="O20" i="1"/>
  <c r="N20" i="1"/>
  <c r="M20" i="1"/>
  <c r="L20" i="1"/>
  <c r="K20" i="1"/>
  <c r="J20" i="1"/>
  <c r="I20" i="1"/>
  <c r="H20" i="1"/>
  <c r="G20" i="1"/>
  <c r="F20" i="1"/>
  <c r="E20" i="1"/>
  <c r="D20" i="1"/>
  <c r="C20" i="1" s="1"/>
  <c r="A20" i="1"/>
  <c r="B20" i="1" s="1"/>
  <c r="O19" i="1"/>
  <c r="N19" i="1"/>
  <c r="M19" i="1"/>
  <c r="L19" i="1"/>
  <c r="K19" i="1"/>
  <c r="J19" i="1"/>
  <c r="I19" i="1"/>
  <c r="H19" i="1"/>
  <c r="G19" i="1"/>
  <c r="F19" i="1"/>
  <c r="E19" i="1"/>
  <c r="D19" i="1"/>
  <c r="C19" i="1" s="1"/>
  <c r="A19" i="1"/>
  <c r="B19" i="1" s="1"/>
  <c r="O18" i="1"/>
  <c r="N18" i="1"/>
  <c r="M18" i="1"/>
  <c r="L18" i="1"/>
  <c r="K18" i="1"/>
  <c r="J18" i="1"/>
  <c r="I18" i="1"/>
  <c r="H18" i="1"/>
  <c r="G18" i="1"/>
  <c r="F18" i="1"/>
  <c r="E18" i="1"/>
  <c r="D18" i="1"/>
  <c r="C18" i="1" s="1"/>
  <c r="A18" i="1"/>
  <c r="B18" i="1" s="1"/>
  <c r="O17" i="1"/>
  <c r="N17" i="1"/>
  <c r="M17" i="1"/>
  <c r="L17" i="1"/>
  <c r="K17" i="1"/>
  <c r="J17" i="1"/>
  <c r="I17" i="1"/>
  <c r="H17" i="1"/>
  <c r="G17" i="1"/>
  <c r="F17" i="1"/>
  <c r="E17" i="1"/>
  <c r="D17" i="1"/>
  <c r="C17" i="1" s="1"/>
  <c r="A17" i="1"/>
  <c r="B17" i="1" s="1"/>
  <c r="O16" i="1"/>
  <c r="N16" i="1"/>
  <c r="M16" i="1"/>
  <c r="L16" i="1"/>
  <c r="K16" i="1"/>
  <c r="J16" i="1"/>
  <c r="I16" i="1"/>
  <c r="H16" i="1"/>
  <c r="G16" i="1"/>
  <c r="F16" i="1"/>
  <c r="E16" i="1"/>
  <c r="D16" i="1"/>
  <c r="C16" i="1" s="1"/>
  <c r="A16" i="1"/>
  <c r="B16" i="1" s="1"/>
  <c r="O15" i="1"/>
  <c r="N15" i="1"/>
  <c r="M15" i="1"/>
  <c r="L15" i="1"/>
  <c r="K15" i="1"/>
  <c r="J15" i="1"/>
  <c r="I15" i="1"/>
  <c r="H15" i="1"/>
  <c r="G15" i="1"/>
  <c r="F15" i="1"/>
  <c r="E15" i="1"/>
  <c r="D15" i="1"/>
  <c r="C15" i="1" s="1"/>
  <c r="A15" i="1"/>
  <c r="B15" i="1" s="1"/>
  <c r="O14" i="1"/>
  <c r="N14" i="1"/>
  <c r="M14" i="1"/>
  <c r="L14" i="1"/>
  <c r="K14" i="1"/>
  <c r="J14" i="1"/>
  <c r="I14" i="1"/>
  <c r="H14" i="1"/>
  <c r="G14" i="1"/>
  <c r="F14" i="1"/>
  <c r="E14" i="1"/>
  <c r="D14" i="1"/>
  <c r="C14" i="1" s="1"/>
  <c r="A14" i="1"/>
  <c r="B14" i="1" s="1"/>
  <c r="O13" i="1"/>
  <c r="N13" i="1"/>
  <c r="M13" i="1"/>
  <c r="L13" i="1"/>
  <c r="K13" i="1"/>
  <c r="J13" i="1"/>
  <c r="I13" i="1"/>
  <c r="H13" i="1"/>
  <c r="G13" i="1"/>
  <c r="F13" i="1"/>
  <c r="E13" i="1"/>
  <c r="D13" i="1"/>
  <c r="C13" i="1" s="1"/>
  <c r="A13" i="1"/>
  <c r="B13" i="1" s="1"/>
  <c r="O12" i="1"/>
  <c r="N12" i="1"/>
  <c r="M12" i="1"/>
  <c r="L12" i="1"/>
  <c r="K12" i="1"/>
  <c r="J12" i="1"/>
  <c r="I12" i="1"/>
  <c r="H12" i="1"/>
  <c r="G12" i="1"/>
  <c r="F12" i="1"/>
  <c r="E12" i="1"/>
  <c r="D12" i="1"/>
  <c r="C12" i="1" s="1"/>
  <c r="A12" i="1"/>
  <c r="B12" i="1" s="1"/>
  <c r="O11" i="1"/>
  <c r="N11" i="1"/>
  <c r="M11" i="1"/>
  <c r="L11" i="1"/>
  <c r="K11" i="1"/>
  <c r="J11" i="1"/>
  <c r="I11" i="1"/>
  <c r="H11" i="1"/>
  <c r="G11" i="1"/>
  <c r="F11" i="1"/>
  <c r="E11" i="1"/>
  <c r="D11" i="1"/>
  <c r="C11" i="1" s="1"/>
  <c r="A11" i="1"/>
  <c r="B11" i="1" s="1"/>
  <c r="O10" i="1"/>
  <c r="N10" i="1"/>
  <c r="M10" i="1"/>
  <c r="L10" i="1"/>
  <c r="K10" i="1"/>
  <c r="J10" i="1"/>
  <c r="I10" i="1"/>
  <c r="H10" i="1"/>
  <c r="G10" i="1"/>
  <c r="F10" i="1"/>
  <c r="E10" i="1"/>
  <c r="D10" i="1"/>
  <c r="C10" i="1" s="1"/>
  <c r="A10" i="1"/>
  <c r="B10" i="1" s="1"/>
  <c r="O9" i="1"/>
  <c r="N9" i="1"/>
  <c r="M9" i="1"/>
  <c r="L9" i="1"/>
  <c r="K9" i="1"/>
  <c r="J9" i="1"/>
  <c r="I9" i="1"/>
  <c r="H9" i="1"/>
  <c r="G9" i="1"/>
  <c r="F9" i="1"/>
  <c r="E9" i="1"/>
  <c r="D9" i="1"/>
  <c r="C9" i="1" s="1"/>
  <c r="A9" i="1"/>
  <c r="B9" i="1" s="1"/>
  <c r="O8" i="1"/>
  <c r="N8" i="1"/>
  <c r="M8" i="1"/>
  <c r="L8" i="1"/>
  <c r="K8" i="1"/>
  <c r="J8" i="1"/>
  <c r="I8" i="1"/>
  <c r="H8" i="1"/>
  <c r="G8" i="1"/>
  <c r="F8" i="1"/>
  <c r="E8" i="1"/>
  <c r="D8" i="1"/>
  <c r="C8" i="1" s="1"/>
  <c r="A8" i="1"/>
  <c r="B8" i="1" s="1"/>
  <c r="O7" i="1"/>
  <c r="N7" i="1"/>
  <c r="M7" i="1"/>
  <c r="L7" i="1"/>
  <c r="K7" i="1"/>
  <c r="J7" i="1"/>
  <c r="I7" i="1"/>
  <c r="H7" i="1"/>
  <c r="G7" i="1"/>
  <c r="F7" i="1"/>
  <c r="E7" i="1"/>
  <c r="D7" i="1"/>
  <c r="C7" i="1" s="1"/>
  <c r="A7" i="1"/>
  <c r="B7" i="1" s="1"/>
  <c r="O6" i="1"/>
  <c r="N6" i="1"/>
  <c r="M6" i="1"/>
  <c r="L6" i="1"/>
  <c r="K6" i="1"/>
  <c r="J6" i="1"/>
  <c r="I6" i="1"/>
  <c r="H6" i="1"/>
  <c r="G6" i="1"/>
  <c r="F6" i="1"/>
  <c r="E6" i="1"/>
  <c r="D6" i="1"/>
  <c r="A6" i="1"/>
  <c r="B6" i="1" s="1"/>
  <c r="O5" i="1"/>
  <c r="N5" i="1"/>
  <c r="M5" i="1"/>
  <c r="L5" i="1"/>
  <c r="K5" i="1"/>
  <c r="J5" i="1"/>
  <c r="I5" i="1"/>
  <c r="H5" i="1"/>
  <c r="C5" i="1" s="1"/>
  <c r="G5" i="1"/>
  <c r="F5" i="1"/>
  <c r="E5" i="1"/>
  <c r="D5" i="1"/>
  <c r="A5" i="1"/>
  <c r="B5" i="1" s="1"/>
  <c r="O4" i="1"/>
  <c r="N4" i="1"/>
  <c r="M4" i="1"/>
  <c r="L4" i="1"/>
  <c r="K4" i="1"/>
  <c r="J4" i="1"/>
  <c r="I4" i="1"/>
  <c r="H4" i="1"/>
  <c r="G4" i="1"/>
  <c r="F4" i="1"/>
  <c r="E4" i="1"/>
  <c r="D4" i="1"/>
  <c r="C4" i="1"/>
  <c r="A4" i="1"/>
  <c r="B4" i="1" s="1"/>
  <c r="O3" i="1"/>
  <c r="N3" i="1"/>
  <c r="M3" i="1"/>
  <c r="L3" i="1"/>
  <c r="K3" i="1"/>
  <c r="J3" i="1"/>
  <c r="I3" i="1"/>
  <c r="H3" i="1"/>
  <c r="G3" i="1"/>
  <c r="F3" i="1"/>
  <c r="E3" i="1"/>
  <c r="D3" i="1"/>
  <c r="C3" i="1"/>
  <c r="A3" i="1"/>
  <c r="B3" i="1" s="1"/>
  <c r="O2" i="1"/>
  <c r="N2" i="1"/>
  <c r="M2" i="1"/>
  <c r="L2" i="1"/>
  <c r="K2" i="1"/>
  <c r="J2" i="1"/>
  <c r="I2" i="1"/>
  <c r="H2" i="1"/>
  <c r="G2" i="1"/>
  <c r="F2" i="1"/>
  <c r="E2" i="1"/>
  <c r="D2" i="1"/>
  <c r="C2" i="1"/>
  <c r="A2" i="1"/>
  <c r="B2" i="1" s="1"/>
  <c r="A1" i="1"/>
  <c r="C36" i="1" s="1"/>
  <c r="C6" i="1" l="1"/>
  <c r="O34" i="1"/>
  <c r="N34" i="1"/>
  <c r="M34" i="1"/>
  <c r="L34" i="1"/>
  <c r="K34" i="1"/>
  <c r="J34" i="1"/>
  <c r="I34" i="1"/>
  <c r="H34" i="1"/>
  <c r="G34" i="1"/>
  <c r="F34" i="1"/>
  <c r="E34" i="1"/>
  <c r="D34" i="1"/>
  <c r="A34" i="1" s="1"/>
  <c r="B37" i="1" s="1"/>
  <c r="C39" i="1"/>
  <c r="C38" i="1"/>
  <c r="B1" i="1" l="1"/>
  <c r="C35" i="1"/>
</calcChain>
</file>

<file path=xl/sharedStrings.xml><?xml version="1.0" encoding="utf-8"?>
<sst xmlns="http://schemas.openxmlformats.org/spreadsheetml/2006/main" count="63" uniqueCount="26">
  <si>
    <t>日合计</t>
    <phoneticPr fontId="2" type="noConversion"/>
  </si>
  <si>
    <t>餐</t>
    <phoneticPr fontId="2" type="noConversion"/>
  </si>
  <si>
    <t>饮</t>
  </si>
  <si>
    <t>娱乐</t>
    <phoneticPr fontId="2" type="noConversion"/>
  </si>
  <si>
    <t>交通</t>
    <phoneticPr fontId="2" type="noConversion"/>
  </si>
  <si>
    <t>网络通讯</t>
    <phoneticPr fontId="2" type="noConversion"/>
  </si>
  <si>
    <t>医疗</t>
    <phoneticPr fontId="2" type="noConversion"/>
  </si>
  <si>
    <t>生活用品</t>
    <phoneticPr fontId="2" type="noConversion"/>
  </si>
  <si>
    <t>电子产品</t>
    <phoneticPr fontId="2" type="noConversion"/>
  </si>
  <si>
    <t>买烟</t>
    <phoneticPr fontId="2" type="noConversion"/>
  </si>
  <si>
    <t>服饰</t>
    <phoneticPr fontId="2" type="noConversion"/>
  </si>
  <si>
    <t>学习</t>
    <phoneticPr fontId="2" type="noConversion"/>
  </si>
  <si>
    <t>旅行</t>
    <phoneticPr fontId="2" type="noConversion"/>
  </si>
  <si>
    <t>项目</t>
    <phoneticPr fontId="2" type="noConversion"/>
  </si>
  <si>
    <t>金额</t>
    <phoneticPr fontId="2" type="noConversion"/>
  </si>
  <si>
    <t>备注</t>
    <phoneticPr fontId="2" type="noConversion"/>
  </si>
  <si>
    <t>渠道</t>
    <phoneticPr fontId="2" type="noConversion"/>
  </si>
  <si>
    <t>落地</t>
    <phoneticPr fontId="2" type="noConversion"/>
  </si>
  <si>
    <t>网络通讯</t>
  </si>
  <si>
    <t>餐</t>
  </si>
  <si>
    <t>旅行</t>
  </si>
  <si>
    <t>交通</t>
  </si>
  <si>
    <t>日均</t>
  </si>
  <si>
    <t>日均*</t>
    <phoneticPr fontId="2" type="noConversion"/>
  </si>
  <si>
    <t>结余</t>
    <phoneticPr fontId="2" type="noConversion"/>
  </si>
  <si>
    <t>总计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</si>
</sst>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.00;[Red]&quot;¥&quot;#,##0.00"/>
    <numFmt numFmtId="177" formatCode="m/d;@"/>
    <numFmt numFmtId="178" formatCode="[$-804]aaa;@"/>
  </numFmts>
  <fonts count="4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8" fontId="0" fillId="3" borderId="0" xfId="0" applyNumberForma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常规" xfId="0" builtinId="0"/>
  </cellStyles>
  <dxfs count="5">
    <dxf>
      <fill>
        <patternFill>
          <bgColor rgb="FFFFFF00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5991;&#26723;\0-&#36134;&#21333;\-2026.xlsx" TargetMode="External"/><Relationship Id="rId1" Type="http://schemas.openxmlformats.org/officeDocument/2006/relationships/externalLinkPath" Target="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总"/>
      <sheetName val="1"/>
      <sheetName val="2"/>
      <sheetName val="3"/>
      <sheetName val="4"/>
      <sheetName val="5"/>
      <sheetName val="6"/>
      <sheetName val="6-2"/>
      <sheetName val="1-"/>
      <sheetName val="7"/>
      <sheetName val="8"/>
      <sheetName val="9"/>
    </sheetNames>
    <sheetDataSet>
      <sheetData sheetId="0">
        <row r="1">
          <cell r="A1">
            <v>2026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39"/>
  <sheetViews>
    <sheetView tabSelected="1" workbookViewId="0">
      <selection activeCell="Q3" sqref="Q3:AE27"/>
    </sheetView>
  </sheetViews>
  <sheetFormatPr defaultRowHeight="14.25" x14ac:dyDescent="0.2"/>
  <cols>
    <col min="1" max="1" width="9" style="3"/>
    <col min="2" max="2" width="9.5" style="3" bestFit="1" customWidth="1"/>
    <col min="3" max="4" width="7.5" style="3" bestFit="1" customWidth="1"/>
    <col min="5" max="5" width="3.375" style="3" bestFit="1" customWidth="1"/>
    <col min="6" max="7" width="5.25" style="3" bestFit="1" customWidth="1"/>
    <col min="8" max="8" width="9" style="3"/>
    <col min="9" max="9" width="5.25" style="3" bestFit="1" customWidth="1"/>
    <col min="10" max="11" width="9" style="3"/>
    <col min="12" max="13" width="5.25" style="3" bestFit="1" customWidth="1"/>
    <col min="14" max="14" width="5.25" style="3" customWidth="1"/>
    <col min="15" max="15" width="5.25" style="3" bestFit="1" customWidth="1"/>
    <col min="16" max="17" width="9" style="3"/>
    <col min="18" max="18" width="7.375" style="3" customWidth="1"/>
    <col min="19" max="19" width="7.125" style="3" bestFit="1" customWidth="1"/>
    <col min="20" max="21" width="5.25" style="3" bestFit="1" customWidth="1"/>
    <col min="22" max="23" width="9" style="3"/>
    <col min="24" max="24" width="6.5" style="3" bestFit="1" customWidth="1"/>
    <col min="25" max="25" width="7.125" style="3" bestFit="1" customWidth="1"/>
    <col min="26" max="27" width="5.25" style="3" bestFit="1" customWidth="1"/>
    <col min="28" max="29" width="9" style="3"/>
    <col min="30" max="30" width="5.5" style="3" bestFit="1" customWidth="1"/>
    <col min="31" max="31" width="7.125" style="3" bestFit="1" customWidth="1"/>
    <col min="32" max="33" width="5.25" style="3" bestFit="1" customWidth="1"/>
    <col min="34" max="35" width="9" style="3"/>
    <col min="36" max="39" width="5.25" style="3" bestFit="1" customWidth="1"/>
    <col min="40" max="41" width="9" style="3"/>
    <col min="42" max="42" width="6.5" style="3" bestFit="1" customWidth="1"/>
    <col min="43" max="45" width="5.25" style="3" bestFit="1" customWidth="1"/>
    <col min="46" max="47" width="9" style="3"/>
    <col min="48" max="48" width="5.5" style="3" bestFit="1" customWidth="1"/>
    <col min="49" max="51" width="5.25" style="3" bestFit="1" customWidth="1"/>
    <col min="52" max="52" width="9" style="3"/>
    <col min="53" max="57" width="5.25" style="3" bestFit="1" customWidth="1"/>
    <col min="58" max="58" width="9" style="3"/>
    <col min="59" max="63" width="5.25" style="3" bestFit="1" customWidth="1"/>
    <col min="64" max="64" width="9" style="3"/>
    <col min="65" max="69" width="5.25" style="3" bestFit="1" customWidth="1"/>
    <col min="70" max="70" width="9" style="3"/>
    <col min="71" max="75" width="5.25" style="3" bestFit="1" customWidth="1"/>
    <col min="76" max="76" width="9" style="3"/>
    <col min="77" max="81" width="5.25" style="3" bestFit="1" customWidth="1"/>
    <col min="82" max="82" width="9" style="3"/>
    <col min="83" max="87" width="5.25" style="3" bestFit="1" customWidth="1"/>
    <col min="88" max="88" width="9" style="3"/>
    <col min="89" max="93" width="5.25" style="3" bestFit="1" customWidth="1"/>
    <col min="94" max="94" width="9" style="3"/>
    <col min="95" max="99" width="5.25" style="3" bestFit="1" customWidth="1"/>
    <col min="100" max="100" width="9" style="3"/>
    <col min="101" max="105" width="5.25" style="3" bestFit="1" customWidth="1"/>
    <col min="106" max="106" width="9" style="3"/>
    <col min="107" max="111" width="5.25" style="3" bestFit="1" customWidth="1"/>
    <col min="112" max="112" width="9" style="3"/>
    <col min="113" max="117" width="5.25" style="3" bestFit="1" customWidth="1"/>
    <col min="118" max="118" width="9" style="3"/>
    <col min="119" max="123" width="5.25" style="3" bestFit="1" customWidth="1"/>
    <col min="124" max="124" width="9" style="3"/>
    <col min="125" max="129" width="5.25" style="3" bestFit="1" customWidth="1"/>
    <col min="130" max="130" width="9" style="3"/>
    <col min="131" max="135" width="5.25" style="3" bestFit="1" customWidth="1"/>
    <col min="136" max="136" width="9" style="3"/>
    <col min="137" max="141" width="5.25" style="3" bestFit="1" customWidth="1"/>
    <col min="142" max="142" width="9" style="3"/>
    <col min="143" max="147" width="5.25" style="3" bestFit="1" customWidth="1"/>
    <col min="148" max="148" width="9" style="3"/>
    <col min="149" max="153" width="5.25" style="3" bestFit="1" customWidth="1"/>
    <col min="154" max="154" width="9" style="3"/>
    <col min="155" max="159" width="5.25" style="3" bestFit="1" customWidth="1"/>
    <col min="160" max="160" width="9" style="3"/>
    <col min="161" max="165" width="5.25" style="3" bestFit="1" customWidth="1"/>
    <col min="166" max="166" width="9" style="3"/>
    <col min="167" max="171" width="5.25" style="3" bestFit="1" customWidth="1"/>
    <col min="172" max="9463" width="9" style="3"/>
    <col min="9464" max="16384" width="9.125" style="3" customWidth="1"/>
  </cols>
  <sheetData>
    <row r="1" spans="1:70" x14ac:dyDescent="0.2">
      <c r="A1" s="1">
        <f>SUM(D36:AH36)</f>
        <v>0</v>
      </c>
      <c r="B1" s="2">
        <f ca="1">C38/C39</f>
        <v>83.344999999999999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W1" s="3" t="s">
        <v>13</v>
      </c>
      <c r="X1" s="3" t="s">
        <v>14</v>
      </c>
      <c r="Y1" s="3" t="s">
        <v>15</v>
      </c>
      <c r="Z1" s="3" t="s">
        <v>16</v>
      </c>
      <c r="AA1" s="3" t="s">
        <v>17</v>
      </c>
      <c r="AC1" s="3" t="s">
        <v>13</v>
      </c>
      <c r="AD1" s="3" t="s">
        <v>14</v>
      </c>
      <c r="AE1" s="3" t="s">
        <v>15</v>
      </c>
      <c r="AF1" s="3" t="s">
        <v>16</v>
      </c>
      <c r="AG1" s="3" t="s">
        <v>17</v>
      </c>
      <c r="AI1" s="3" t="s">
        <v>13</v>
      </c>
      <c r="AJ1" s="3" t="s">
        <v>14</v>
      </c>
      <c r="AK1" s="3" t="s">
        <v>15</v>
      </c>
      <c r="AL1" s="3" t="s">
        <v>16</v>
      </c>
      <c r="AM1" s="3" t="s">
        <v>17</v>
      </c>
      <c r="AO1" s="3" t="s">
        <v>13</v>
      </c>
      <c r="AP1" s="3" t="s">
        <v>14</v>
      </c>
      <c r="AQ1" s="3" t="s">
        <v>15</v>
      </c>
      <c r="AR1" s="3" t="s">
        <v>16</v>
      </c>
      <c r="AS1" s="3" t="s">
        <v>17</v>
      </c>
      <c r="AU1" s="3" t="s">
        <v>13</v>
      </c>
      <c r="AV1" s="3" t="s">
        <v>14</v>
      </c>
      <c r="AW1" s="3" t="s">
        <v>15</v>
      </c>
      <c r="AX1" s="3" t="s">
        <v>16</v>
      </c>
      <c r="AY1" s="3" t="s">
        <v>17</v>
      </c>
    </row>
    <row r="2" spans="1:70" x14ac:dyDescent="0.2">
      <c r="A2" s="4">
        <f>IFERROR(DATE([1]总!$A$1, 9, ROW(A1)), "")</f>
        <v>46266</v>
      </c>
      <c r="B2" s="5">
        <f>A2</f>
        <v>46266</v>
      </c>
      <c r="C2" s="6">
        <f ca="1">SUM(D2:O2)</f>
        <v>0</v>
      </c>
      <c r="D2" s="3">
        <f t="shared" ref="D2:O17" ca="1" si="0">SUMIF($Q2:$FO2, D$1, $R2:$FO2)</f>
        <v>0</v>
      </c>
      <c r="E2" s="3">
        <f t="shared" ca="1" si="0"/>
        <v>0</v>
      </c>
      <c r="F2" s="3">
        <f t="shared" ca="1" si="0"/>
        <v>0</v>
      </c>
      <c r="G2" s="3">
        <f t="shared" ca="1" si="0"/>
        <v>0</v>
      </c>
      <c r="H2" s="3">
        <f t="shared" ca="1" si="0"/>
        <v>0</v>
      </c>
      <c r="I2" s="3">
        <f t="shared" ca="1" si="0"/>
        <v>0</v>
      </c>
      <c r="J2" s="3">
        <f t="shared" ca="1" si="0"/>
        <v>0</v>
      </c>
      <c r="K2" s="3">
        <f t="shared" ca="1" si="0"/>
        <v>0</v>
      </c>
      <c r="L2" s="3">
        <f t="shared" ca="1" si="0"/>
        <v>0</v>
      </c>
      <c r="M2" s="3">
        <f t="shared" ca="1" si="0"/>
        <v>0</v>
      </c>
      <c r="N2" s="3">
        <f t="shared" ca="1" si="0"/>
        <v>0</v>
      </c>
      <c r="O2" s="3">
        <f t="shared" ca="1" si="0"/>
        <v>0</v>
      </c>
    </row>
    <row r="3" spans="1:70" x14ac:dyDescent="0.2">
      <c r="A3" s="4">
        <f>IFERROR(DATE([1]总!$A$1, 9, ROW(A2)), "")</f>
        <v>46267</v>
      </c>
      <c r="B3" s="7">
        <f>A3</f>
        <v>46267</v>
      </c>
      <c r="C3" s="8">
        <f t="shared" ref="C3:C32" ca="1" si="1">SUM(D3:O3)</f>
        <v>0</v>
      </c>
      <c r="D3" s="9">
        <f t="shared" ca="1" si="0"/>
        <v>0</v>
      </c>
      <c r="E3" s="9">
        <f t="shared" ca="1" si="0"/>
        <v>0</v>
      </c>
      <c r="F3" s="9">
        <f t="shared" ca="1" si="0"/>
        <v>0</v>
      </c>
      <c r="G3" s="9">
        <f t="shared" ca="1" si="0"/>
        <v>0</v>
      </c>
      <c r="H3" s="9">
        <f t="shared" ca="1" si="0"/>
        <v>0</v>
      </c>
      <c r="I3" s="9">
        <f t="shared" ca="1" si="0"/>
        <v>0</v>
      </c>
      <c r="J3" s="9">
        <f t="shared" ca="1" si="0"/>
        <v>0</v>
      </c>
      <c r="K3" s="9">
        <f t="shared" ca="1" si="0"/>
        <v>0</v>
      </c>
      <c r="L3" s="9">
        <f t="shared" ca="1" si="0"/>
        <v>0</v>
      </c>
      <c r="M3" s="9">
        <f t="shared" ca="1" si="0"/>
        <v>0</v>
      </c>
      <c r="N3" s="9">
        <f t="shared" ca="1" si="0"/>
        <v>0</v>
      </c>
      <c r="O3" s="9">
        <f t="shared" ca="1" si="0"/>
        <v>0</v>
      </c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</row>
    <row r="4" spans="1:70" x14ac:dyDescent="0.2">
      <c r="A4" s="4">
        <f>IFERROR(DATE([1]总!$A$1, 9, ROW(A3)), "")</f>
        <v>46268</v>
      </c>
      <c r="B4" s="5">
        <f t="shared" ref="B4:B32" si="2">A4</f>
        <v>46268</v>
      </c>
      <c r="C4" s="6">
        <f t="shared" ca="1" si="1"/>
        <v>0</v>
      </c>
      <c r="D4" s="3">
        <f t="shared" ca="1" si="0"/>
        <v>0</v>
      </c>
      <c r="E4" s="3">
        <f t="shared" ca="1" si="0"/>
        <v>0</v>
      </c>
      <c r="F4" s="3">
        <f t="shared" ca="1" si="0"/>
        <v>0</v>
      </c>
      <c r="G4" s="3">
        <f t="shared" ca="1" si="0"/>
        <v>0</v>
      </c>
      <c r="H4" s="3">
        <f t="shared" ca="1" si="0"/>
        <v>0</v>
      </c>
      <c r="I4" s="3">
        <f t="shared" ca="1" si="0"/>
        <v>0</v>
      </c>
      <c r="J4" s="3">
        <f t="shared" ca="1" si="0"/>
        <v>0</v>
      </c>
      <c r="K4" s="3">
        <f t="shared" ca="1" si="0"/>
        <v>0</v>
      </c>
      <c r="L4" s="3">
        <f t="shared" ca="1" si="0"/>
        <v>0</v>
      </c>
      <c r="M4" s="3">
        <f t="shared" ca="1" si="0"/>
        <v>0</v>
      </c>
      <c r="N4" s="3">
        <f t="shared" ca="1" si="0"/>
        <v>0</v>
      </c>
      <c r="O4" s="3">
        <f t="shared" ca="1" si="0"/>
        <v>0</v>
      </c>
    </row>
    <row r="5" spans="1:70" x14ac:dyDescent="0.2">
      <c r="A5" s="4">
        <f>IFERROR(DATE([1]总!$A$1, 9, ROW(A4)), "")</f>
        <v>46269</v>
      </c>
      <c r="B5" s="7">
        <f t="shared" si="2"/>
        <v>46269</v>
      </c>
      <c r="C5" s="8">
        <f t="shared" ca="1" si="1"/>
        <v>25</v>
      </c>
      <c r="D5" s="9">
        <f t="shared" ca="1" si="0"/>
        <v>0</v>
      </c>
      <c r="E5" s="9">
        <f t="shared" ca="1" si="0"/>
        <v>0</v>
      </c>
      <c r="F5" s="9">
        <f t="shared" ca="1" si="0"/>
        <v>0</v>
      </c>
      <c r="G5" s="9">
        <f t="shared" ca="1" si="0"/>
        <v>0</v>
      </c>
      <c r="H5" s="9">
        <f t="shared" ca="1" si="0"/>
        <v>25</v>
      </c>
      <c r="I5" s="9">
        <f t="shared" ca="1" si="0"/>
        <v>0</v>
      </c>
      <c r="J5" s="9">
        <f t="shared" ca="1" si="0"/>
        <v>0</v>
      </c>
      <c r="K5" s="9">
        <f t="shared" ca="1" si="0"/>
        <v>0</v>
      </c>
      <c r="L5" s="9">
        <f t="shared" ca="1" si="0"/>
        <v>0</v>
      </c>
      <c r="M5" s="9">
        <f t="shared" ca="1" si="0"/>
        <v>0</v>
      </c>
      <c r="N5" s="9">
        <f t="shared" ca="1" si="0"/>
        <v>0</v>
      </c>
      <c r="O5" s="9">
        <f t="shared" ca="1" si="0"/>
        <v>0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 t="s">
        <v>18</v>
      </c>
      <c r="AJ5" s="9">
        <v>25</v>
      </c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</row>
    <row r="6" spans="1:70" x14ac:dyDescent="0.2">
      <c r="A6" s="4">
        <f>IFERROR(DATE([1]总!$A$1, 9, ROW(A5)), "")</f>
        <v>46270</v>
      </c>
      <c r="B6" s="5">
        <f t="shared" si="2"/>
        <v>46270</v>
      </c>
      <c r="C6" s="6">
        <f t="shared" ca="1" si="1"/>
        <v>0</v>
      </c>
      <c r="D6" s="3">
        <f t="shared" ca="1" si="0"/>
        <v>0</v>
      </c>
      <c r="E6" s="3">
        <f t="shared" ca="1" si="0"/>
        <v>0</v>
      </c>
      <c r="F6" s="3">
        <f t="shared" ca="1" si="0"/>
        <v>0</v>
      </c>
      <c r="G6" s="3">
        <f t="shared" ca="1" si="0"/>
        <v>0</v>
      </c>
      <c r="H6" s="3">
        <f t="shared" ca="1" si="0"/>
        <v>0</v>
      </c>
      <c r="I6" s="3">
        <f t="shared" ca="1" si="0"/>
        <v>0</v>
      </c>
      <c r="J6" s="3">
        <f t="shared" ca="1" si="0"/>
        <v>0</v>
      </c>
      <c r="K6" s="3">
        <f t="shared" ca="1" si="0"/>
        <v>0</v>
      </c>
      <c r="L6" s="3">
        <f t="shared" ca="1" si="0"/>
        <v>0</v>
      </c>
      <c r="M6" s="3">
        <f t="shared" ca="1" si="0"/>
        <v>0</v>
      </c>
      <c r="N6" s="3">
        <f t="shared" ca="1" si="0"/>
        <v>0</v>
      </c>
      <c r="O6" s="3">
        <f t="shared" ca="1" si="0"/>
        <v>0</v>
      </c>
    </row>
    <row r="7" spans="1:70" x14ac:dyDescent="0.2">
      <c r="A7" s="4">
        <f>IFERROR(DATE([1]总!$A$1, 9, ROW(A6)), "")</f>
        <v>46271</v>
      </c>
      <c r="B7" s="7">
        <f t="shared" si="2"/>
        <v>46271</v>
      </c>
      <c r="C7" s="8">
        <f t="shared" ca="1" si="1"/>
        <v>0</v>
      </c>
      <c r="D7" s="9">
        <f t="shared" ca="1" si="0"/>
        <v>0</v>
      </c>
      <c r="E7" s="9">
        <f t="shared" ca="1" si="0"/>
        <v>0</v>
      </c>
      <c r="F7" s="9">
        <f t="shared" ca="1" si="0"/>
        <v>0</v>
      </c>
      <c r="G7" s="9">
        <f t="shared" ca="1" si="0"/>
        <v>0</v>
      </c>
      <c r="H7" s="9">
        <f t="shared" ca="1" si="0"/>
        <v>0</v>
      </c>
      <c r="I7" s="9">
        <f t="shared" ca="1" si="0"/>
        <v>0</v>
      </c>
      <c r="J7" s="9">
        <f t="shared" ca="1" si="0"/>
        <v>0</v>
      </c>
      <c r="K7" s="9">
        <f t="shared" ca="1" si="0"/>
        <v>0</v>
      </c>
      <c r="L7" s="9">
        <f t="shared" ca="1" si="0"/>
        <v>0</v>
      </c>
      <c r="M7" s="9">
        <f t="shared" ca="1" si="0"/>
        <v>0</v>
      </c>
      <c r="N7" s="9">
        <f t="shared" ca="1" si="0"/>
        <v>0</v>
      </c>
      <c r="O7" s="9">
        <f t="shared" ca="1" si="0"/>
        <v>0</v>
      </c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</row>
    <row r="8" spans="1:70" x14ac:dyDescent="0.2">
      <c r="A8" s="4">
        <f>IFERROR(DATE([1]总!$A$1, 9, ROW(A7)), "")</f>
        <v>46272</v>
      </c>
      <c r="B8" s="5">
        <f t="shared" si="2"/>
        <v>46272</v>
      </c>
      <c r="C8" s="6">
        <f t="shared" ca="1" si="1"/>
        <v>0</v>
      </c>
      <c r="D8" s="3">
        <f t="shared" ca="1" si="0"/>
        <v>0</v>
      </c>
      <c r="E8" s="3">
        <f t="shared" ca="1" si="0"/>
        <v>0</v>
      </c>
      <c r="F8" s="3">
        <f t="shared" ca="1" si="0"/>
        <v>0</v>
      </c>
      <c r="G8" s="3">
        <f t="shared" ca="1" si="0"/>
        <v>0</v>
      </c>
      <c r="H8" s="3">
        <f t="shared" ca="1" si="0"/>
        <v>0</v>
      </c>
      <c r="I8" s="3">
        <f t="shared" ca="1" si="0"/>
        <v>0</v>
      </c>
      <c r="J8" s="3">
        <f t="shared" ca="1" si="0"/>
        <v>0</v>
      </c>
      <c r="K8" s="3">
        <f t="shared" ca="1" si="0"/>
        <v>0</v>
      </c>
      <c r="L8" s="3">
        <f t="shared" ca="1" si="0"/>
        <v>0</v>
      </c>
      <c r="M8" s="3">
        <f t="shared" ca="1" si="0"/>
        <v>0</v>
      </c>
      <c r="N8" s="3">
        <f t="shared" ca="1" si="0"/>
        <v>0</v>
      </c>
      <c r="O8" s="3">
        <f t="shared" ca="1" si="0"/>
        <v>0</v>
      </c>
    </row>
    <row r="9" spans="1:70" x14ac:dyDescent="0.2">
      <c r="A9" s="4">
        <f>IFERROR(DATE([1]总!$A$1, 9, ROW(A8)), "")</f>
        <v>46273</v>
      </c>
      <c r="B9" s="7">
        <f t="shared" si="2"/>
        <v>46273</v>
      </c>
      <c r="C9" s="8">
        <f t="shared" ca="1" si="1"/>
        <v>0</v>
      </c>
      <c r="D9" s="9">
        <f t="shared" ca="1" si="0"/>
        <v>0</v>
      </c>
      <c r="E9" s="9">
        <f t="shared" ca="1" si="0"/>
        <v>0</v>
      </c>
      <c r="F9" s="9">
        <f t="shared" ca="1" si="0"/>
        <v>0</v>
      </c>
      <c r="G9" s="9">
        <f t="shared" ca="1" si="0"/>
        <v>0</v>
      </c>
      <c r="H9" s="9">
        <f t="shared" ca="1" si="0"/>
        <v>0</v>
      </c>
      <c r="I9" s="9">
        <f t="shared" ca="1" si="0"/>
        <v>0</v>
      </c>
      <c r="J9" s="9">
        <f t="shared" ca="1" si="0"/>
        <v>0</v>
      </c>
      <c r="K9" s="9">
        <f t="shared" ca="1" si="0"/>
        <v>0</v>
      </c>
      <c r="L9" s="9">
        <f t="shared" ca="1" si="0"/>
        <v>0</v>
      </c>
      <c r="M9" s="9">
        <f t="shared" ca="1" si="0"/>
        <v>0</v>
      </c>
      <c r="N9" s="9">
        <f t="shared" ca="1" si="0"/>
        <v>0</v>
      </c>
      <c r="O9" s="9">
        <f t="shared" ca="1" si="0"/>
        <v>0</v>
      </c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</row>
    <row r="10" spans="1:70" x14ac:dyDescent="0.2">
      <c r="A10" s="4">
        <f>IFERROR(DATE([1]总!$A$1, 9, ROW(A9)), "")</f>
        <v>46274</v>
      </c>
      <c r="B10" s="5">
        <f t="shared" si="2"/>
        <v>46274</v>
      </c>
      <c r="C10" s="6">
        <f t="shared" ca="1" si="1"/>
        <v>0</v>
      </c>
      <c r="D10" s="3">
        <f t="shared" ca="1" si="0"/>
        <v>0</v>
      </c>
      <c r="E10" s="3">
        <f t="shared" ca="1" si="0"/>
        <v>0</v>
      </c>
      <c r="F10" s="3">
        <f t="shared" ca="1" si="0"/>
        <v>0</v>
      </c>
      <c r="G10" s="3">
        <f t="shared" ca="1" si="0"/>
        <v>0</v>
      </c>
      <c r="H10" s="3">
        <f t="shared" ca="1" si="0"/>
        <v>0</v>
      </c>
      <c r="I10" s="3">
        <f t="shared" ca="1" si="0"/>
        <v>0</v>
      </c>
      <c r="J10" s="3">
        <f t="shared" ca="1" si="0"/>
        <v>0</v>
      </c>
      <c r="K10" s="3">
        <f t="shared" ca="1" si="0"/>
        <v>0</v>
      </c>
      <c r="L10" s="3">
        <f t="shared" ca="1" si="0"/>
        <v>0</v>
      </c>
      <c r="M10" s="3">
        <f t="shared" ca="1" si="0"/>
        <v>0</v>
      </c>
      <c r="N10" s="3">
        <f t="shared" ca="1" si="0"/>
        <v>0</v>
      </c>
      <c r="O10" s="3">
        <f t="shared" ca="1" si="0"/>
        <v>0</v>
      </c>
    </row>
    <row r="11" spans="1:70" x14ac:dyDescent="0.2">
      <c r="A11" s="4">
        <f>IFERROR(DATE([1]总!$A$1, 9, ROW(A10)), "")</f>
        <v>46275</v>
      </c>
      <c r="B11" s="7">
        <f t="shared" si="2"/>
        <v>46275</v>
      </c>
      <c r="C11" s="8">
        <f t="shared" ca="1" si="1"/>
        <v>0</v>
      </c>
      <c r="D11" s="9">
        <f t="shared" ca="1" si="0"/>
        <v>0</v>
      </c>
      <c r="E11" s="9">
        <f t="shared" ca="1" si="0"/>
        <v>0</v>
      </c>
      <c r="F11" s="9">
        <f t="shared" ca="1" si="0"/>
        <v>0</v>
      </c>
      <c r="G11" s="9">
        <f t="shared" ca="1" si="0"/>
        <v>0</v>
      </c>
      <c r="H11" s="9">
        <f t="shared" ca="1" si="0"/>
        <v>0</v>
      </c>
      <c r="I11" s="9">
        <f t="shared" ca="1" si="0"/>
        <v>0</v>
      </c>
      <c r="J11" s="9">
        <f t="shared" ca="1" si="0"/>
        <v>0</v>
      </c>
      <c r="K11" s="9">
        <f t="shared" ca="1" si="0"/>
        <v>0</v>
      </c>
      <c r="L11" s="9">
        <f t="shared" ca="1" si="0"/>
        <v>0</v>
      </c>
      <c r="M11" s="9">
        <f t="shared" ca="1" si="0"/>
        <v>0</v>
      </c>
      <c r="N11" s="9">
        <f t="shared" ca="1" si="0"/>
        <v>0</v>
      </c>
      <c r="O11" s="9">
        <f t="shared" ca="1" si="0"/>
        <v>0</v>
      </c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</row>
    <row r="12" spans="1:70" x14ac:dyDescent="0.2">
      <c r="A12" s="4">
        <f>IFERROR(DATE([1]总!$A$1, 9, ROW(A11)), "")</f>
        <v>46276</v>
      </c>
      <c r="B12" s="5">
        <f t="shared" si="2"/>
        <v>46276</v>
      </c>
      <c r="C12" s="6">
        <f t="shared" ca="1" si="1"/>
        <v>0</v>
      </c>
      <c r="D12" s="3">
        <f t="shared" ca="1" si="0"/>
        <v>0</v>
      </c>
      <c r="E12" s="3">
        <f t="shared" ca="1" si="0"/>
        <v>0</v>
      </c>
      <c r="F12" s="3">
        <f t="shared" ca="1" si="0"/>
        <v>0</v>
      </c>
      <c r="G12" s="3">
        <f t="shared" ca="1" si="0"/>
        <v>0</v>
      </c>
      <c r="H12" s="3">
        <f t="shared" ca="1" si="0"/>
        <v>0</v>
      </c>
      <c r="I12" s="3">
        <f t="shared" ca="1" si="0"/>
        <v>0</v>
      </c>
      <c r="J12" s="3">
        <f t="shared" ca="1" si="0"/>
        <v>0</v>
      </c>
      <c r="K12" s="3">
        <f t="shared" ca="1" si="0"/>
        <v>0</v>
      </c>
      <c r="L12" s="3">
        <f t="shared" ca="1" si="0"/>
        <v>0</v>
      </c>
      <c r="M12" s="3">
        <f t="shared" ca="1" si="0"/>
        <v>0</v>
      </c>
      <c r="N12" s="3">
        <f t="shared" ca="1" si="0"/>
        <v>0</v>
      </c>
      <c r="O12" s="3">
        <f t="shared" ca="1" si="0"/>
        <v>0</v>
      </c>
    </row>
    <row r="13" spans="1:70" x14ac:dyDescent="0.2">
      <c r="A13" s="4">
        <f>IFERROR(DATE([1]总!$A$1, 9, ROW(A12)), "")</f>
        <v>46277</v>
      </c>
      <c r="B13" s="7">
        <f t="shared" si="2"/>
        <v>46277</v>
      </c>
      <c r="C13" s="8">
        <f t="shared" ca="1" si="1"/>
        <v>0</v>
      </c>
      <c r="D13" s="9">
        <f t="shared" ca="1" si="0"/>
        <v>0</v>
      </c>
      <c r="E13" s="9">
        <f t="shared" ca="1" si="0"/>
        <v>0</v>
      </c>
      <c r="F13" s="9">
        <f t="shared" ca="1" si="0"/>
        <v>0</v>
      </c>
      <c r="G13" s="9">
        <f t="shared" ca="1" si="0"/>
        <v>0</v>
      </c>
      <c r="H13" s="9">
        <f t="shared" ca="1" si="0"/>
        <v>0</v>
      </c>
      <c r="I13" s="9">
        <f t="shared" ca="1" si="0"/>
        <v>0</v>
      </c>
      <c r="J13" s="9">
        <f t="shared" ca="1" si="0"/>
        <v>0</v>
      </c>
      <c r="K13" s="9">
        <f t="shared" ca="1" si="0"/>
        <v>0</v>
      </c>
      <c r="L13" s="9">
        <f t="shared" ca="1" si="0"/>
        <v>0</v>
      </c>
      <c r="M13" s="9">
        <f t="shared" ca="1" si="0"/>
        <v>0</v>
      </c>
      <c r="N13" s="9">
        <f t="shared" ca="1" si="0"/>
        <v>0</v>
      </c>
      <c r="O13" s="9">
        <f t="shared" ca="1" si="0"/>
        <v>0</v>
      </c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</row>
    <row r="14" spans="1:70" x14ac:dyDescent="0.2">
      <c r="A14" s="4">
        <f>IFERROR(DATE([1]总!$A$1, 9, ROW(A13)), "")</f>
        <v>46278</v>
      </c>
      <c r="B14" s="5">
        <f t="shared" si="2"/>
        <v>46278</v>
      </c>
      <c r="C14" s="6">
        <f t="shared" ca="1" si="1"/>
        <v>0</v>
      </c>
      <c r="D14" s="3">
        <f t="shared" ca="1" si="0"/>
        <v>0</v>
      </c>
      <c r="E14" s="3">
        <f t="shared" ca="1" si="0"/>
        <v>0</v>
      </c>
      <c r="F14" s="3">
        <f t="shared" ca="1" si="0"/>
        <v>0</v>
      </c>
      <c r="G14" s="3">
        <f t="shared" ca="1" si="0"/>
        <v>0</v>
      </c>
      <c r="H14" s="3">
        <f t="shared" ca="1" si="0"/>
        <v>0</v>
      </c>
      <c r="I14" s="3">
        <f t="shared" ca="1" si="0"/>
        <v>0</v>
      </c>
      <c r="J14" s="3">
        <f t="shared" ca="1" si="0"/>
        <v>0</v>
      </c>
      <c r="K14" s="3">
        <f t="shared" ca="1" si="0"/>
        <v>0</v>
      </c>
      <c r="L14" s="3">
        <f t="shared" ca="1" si="0"/>
        <v>0</v>
      </c>
      <c r="M14" s="3">
        <f t="shared" ca="1" si="0"/>
        <v>0</v>
      </c>
      <c r="N14" s="3">
        <f t="shared" ca="1" si="0"/>
        <v>0</v>
      </c>
      <c r="O14" s="3">
        <f t="shared" ca="1" si="0"/>
        <v>0</v>
      </c>
    </row>
    <row r="15" spans="1:70" x14ac:dyDescent="0.2">
      <c r="A15" s="4">
        <f>IFERROR(DATE([1]总!$A$1, 9, ROW(A14)), "")</f>
        <v>46279</v>
      </c>
      <c r="B15" s="7">
        <f t="shared" si="2"/>
        <v>46279</v>
      </c>
      <c r="C15" s="8">
        <f t="shared" ca="1" si="1"/>
        <v>0</v>
      </c>
      <c r="D15" s="9">
        <f t="shared" ca="1" si="0"/>
        <v>0</v>
      </c>
      <c r="E15" s="9">
        <f t="shared" ca="1" si="0"/>
        <v>0</v>
      </c>
      <c r="F15" s="9">
        <f t="shared" ca="1" si="0"/>
        <v>0</v>
      </c>
      <c r="G15" s="9">
        <f t="shared" ca="1" si="0"/>
        <v>0</v>
      </c>
      <c r="H15" s="9">
        <f t="shared" ca="1" si="0"/>
        <v>0</v>
      </c>
      <c r="I15" s="9">
        <f t="shared" ca="1" si="0"/>
        <v>0</v>
      </c>
      <c r="J15" s="9">
        <f t="shared" ca="1" si="0"/>
        <v>0</v>
      </c>
      <c r="K15" s="9">
        <f t="shared" ca="1" si="0"/>
        <v>0</v>
      </c>
      <c r="L15" s="9">
        <f t="shared" ca="1" si="0"/>
        <v>0</v>
      </c>
      <c r="M15" s="9">
        <f t="shared" ca="1" si="0"/>
        <v>0</v>
      </c>
      <c r="N15" s="9">
        <f t="shared" ca="1" si="0"/>
        <v>0</v>
      </c>
      <c r="O15" s="9">
        <f t="shared" ca="1" si="0"/>
        <v>0</v>
      </c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</row>
    <row r="16" spans="1:70" x14ac:dyDescent="0.2">
      <c r="A16" s="4">
        <f>IFERROR(DATE([1]总!$A$1, 9, ROW(A15)), "")</f>
        <v>46280</v>
      </c>
      <c r="B16" s="5">
        <f t="shared" si="2"/>
        <v>46280</v>
      </c>
      <c r="C16" s="6">
        <f t="shared" ca="1" si="1"/>
        <v>0</v>
      </c>
      <c r="D16" s="3">
        <f t="shared" ca="1" si="0"/>
        <v>0</v>
      </c>
      <c r="E16" s="3">
        <f t="shared" ca="1" si="0"/>
        <v>0</v>
      </c>
      <c r="F16" s="3">
        <f t="shared" ca="1" si="0"/>
        <v>0</v>
      </c>
      <c r="G16" s="3">
        <f t="shared" ca="1" si="0"/>
        <v>0</v>
      </c>
      <c r="H16" s="3">
        <f t="shared" ca="1" si="0"/>
        <v>0</v>
      </c>
      <c r="I16" s="3">
        <f t="shared" ca="1" si="0"/>
        <v>0</v>
      </c>
      <c r="J16" s="3">
        <f t="shared" ca="1" si="0"/>
        <v>0</v>
      </c>
      <c r="K16" s="3">
        <f t="shared" ca="1" si="0"/>
        <v>0</v>
      </c>
      <c r="L16" s="3">
        <f t="shared" ca="1" si="0"/>
        <v>0</v>
      </c>
      <c r="M16" s="3">
        <f t="shared" ca="1" si="0"/>
        <v>0</v>
      </c>
      <c r="N16" s="3">
        <f t="shared" ca="1" si="0"/>
        <v>0</v>
      </c>
      <c r="O16" s="3">
        <f t="shared" ca="1" si="0"/>
        <v>0</v>
      </c>
    </row>
    <row r="17" spans="1:70" x14ac:dyDescent="0.2">
      <c r="A17" s="4">
        <f>IFERROR(DATE([1]总!$A$1, 9, ROW(A16)), "")</f>
        <v>46281</v>
      </c>
      <c r="B17" s="7">
        <f t="shared" si="2"/>
        <v>46281</v>
      </c>
      <c r="C17" s="8">
        <f t="shared" ca="1" si="1"/>
        <v>0</v>
      </c>
      <c r="D17" s="9">
        <f t="shared" ca="1" si="0"/>
        <v>0</v>
      </c>
      <c r="E17" s="9">
        <f t="shared" ca="1" si="0"/>
        <v>0</v>
      </c>
      <c r="F17" s="9">
        <f t="shared" ca="1" si="0"/>
        <v>0</v>
      </c>
      <c r="G17" s="9">
        <f t="shared" ca="1" si="0"/>
        <v>0</v>
      </c>
      <c r="H17" s="9">
        <f t="shared" ca="1" si="0"/>
        <v>0</v>
      </c>
      <c r="I17" s="9">
        <f t="shared" ca="1" si="0"/>
        <v>0</v>
      </c>
      <c r="J17" s="9">
        <f t="shared" ca="1" si="0"/>
        <v>0</v>
      </c>
      <c r="K17" s="9">
        <f t="shared" ca="1" si="0"/>
        <v>0</v>
      </c>
      <c r="L17" s="9">
        <f t="shared" ca="1" si="0"/>
        <v>0</v>
      </c>
      <c r="M17" s="9">
        <f t="shared" ca="1" si="0"/>
        <v>0</v>
      </c>
      <c r="N17" s="9">
        <f t="shared" ca="1" si="0"/>
        <v>0</v>
      </c>
      <c r="O17" s="9">
        <f t="shared" ca="1" si="0"/>
        <v>0</v>
      </c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</row>
    <row r="18" spans="1:70" x14ac:dyDescent="0.2">
      <c r="A18" s="4">
        <f>IFERROR(DATE([1]总!$A$1, 9, ROW(A17)), "")</f>
        <v>46282</v>
      </c>
      <c r="B18" s="5">
        <f t="shared" si="2"/>
        <v>46282</v>
      </c>
      <c r="C18" s="6">
        <f t="shared" ca="1" si="1"/>
        <v>0</v>
      </c>
      <c r="D18" s="3">
        <f t="shared" ref="D18:O32" ca="1" si="3">SUMIF($Q18:$FO18, D$1, $R18:$FO18)</f>
        <v>0</v>
      </c>
      <c r="E18" s="3">
        <f t="shared" ca="1" si="3"/>
        <v>0</v>
      </c>
      <c r="F18" s="3">
        <f t="shared" ca="1" si="3"/>
        <v>0</v>
      </c>
      <c r="G18" s="3">
        <f t="shared" ca="1" si="3"/>
        <v>0</v>
      </c>
      <c r="H18" s="3">
        <f t="shared" ca="1" si="3"/>
        <v>0</v>
      </c>
      <c r="I18" s="3">
        <f t="shared" ca="1" si="3"/>
        <v>0</v>
      </c>
      <c r="J18" s="3">
        <f t="shared" ca="1" si="3"/>
        <v>0</v>
      </c>
      <c r="K18" s="3">
        <f t="shared" ca="1" si="3"/>
        <v>0</v>
      </c>
      <c r="L18" s="3">
        <f t="shared" ca="1" si="3"/>
        <v>0</v>
      </c>
      <c r="M18" s="3">
        <f t="shared" ca="1" si="3"/>
        <v>0</v>
      </c>
      <c r="N18" s="3">
        <f t="shared" ca="1" si="3"/>
        <v>0</v>
      </c>
      <c r="O18" s="3">
        <f t="shared" ca="1" si="3"/>
        <v>0</v>
      </c>
    </row>
    <row r="19" spans="1:70" x14ac:dyDescent="0.2">
      <c r="A19" s="4">
        <f>IFERROR(DATE([1]总!$A$1, 9, ROW(A18)), "")</f>
        <v>46283</v>
      </c>
      <c r="B19" s="7">
        <f t="shared" si="2"/>
        <v>46283</v>
      </c>
      <c r="C19" s="8">
        <f t="shared" ca="1" si="1"/>
        <v>0</v>
      </c>
      <c r="D19" s="9">
        <f t="shared" ca="1" si="3"/>
        <v>0</v>
      </c>
      <c r="E19" s="9">
        <f t="shared" ca="1" si="3"/>
        <v>0</v>
      </c>
      <c r="F19" s="9">
        <f t="shared" ca="1" si="3"/>
        <v>0</v>
      </c>
      <c r="G19" s="9">
        <f t="shared" ca="1" si="3"/>
        <v>0</v>
      </c>
      <c r="H19" s="9">
        <f t="shared" ca="1" si="3"/>
        <v>0</v>
      </c>
      <c r="I19" s="9">
        <f t="shared" ca="1" si="3"/>
        <v>0</v>
      </c>
      <c r="J19" s="9">
        <f t="shared" ca="1" si="3"/>
        <v>0</v>
      </c>
      <c r="K19" s="9">
        <f t="shared" ca="1" si="3"/>
        <v>0</v>
      </c>
      <c r="L19" s="9">
        <f t="shared" ca="1" si="3"/>
        <v>0</v>
      </c>
      <c r="M19" s="9">
        <f t="shared" ca="1" si="3"/>
        <v>0</v>
      </c>
      <c r="N19" s="9">
        <f t="shared" ca="1" si="3"/>
        <v>0</v>
      </c>
      <c r="O19" s="9">
        <f t="shared" ca="1" si="3"/>
        <v>0</v>
      </c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</row>
    <row r="20" spans="1:70" x14ac:dyDescent="0.2">
      <c r="A20" s="4">
        <f>IFERROR(DATE([1]总!$A$1, 9, ROW(A19)), "")</f>
        <v>46284</v>
      </c>
      <c r="B20" s="5">
        <f t="shared" si="2"/>
        <v>46284</v>
      </c>
      <c r="C20" s="6">
        <f t="shared" ca="1" si="1"/>
        <v>0</v>
      </c>
      <c r="D20" s="3">
        <f t="shared" ca="1" si="3"/>
        <v>0</v>
      </c>
      <c r="E20" s="3">
        <f t="shared" ca="1" si="3"/>
        <v>0</v>
      </c>
      <c r="F20" s="3">
        <f t="shared" ca="1" si="3"/>
        <v>0</v>
      </c>
      <c r="G20" s="3">
        <f t="shared" ca="1" si="3"/>
        <v>0</v>
      </c>
      <c r="H20" s="3">
        <f t="shared" ca="1" si="3"/>
        <v>0</v>
      </c>
      <c r="I20" s="3">
        <f t="shared" ca="1" si="3"/>
        <v>0</v>
      </c>
      <c r="J20" s="3">
        <f t="shared" ca="1" si="3"/>
        <v>0</v>
      </c>
      <c r="K20" s="3">
        <f t="shared" ca="1" si="3"/>
        <v>0</v>
      </c>
      <c r="L20" s="3">
        <f t="shared" ca="1" si="3"/>
        <v>0</v>
      </c>
      <c r="M20" s="3">
        <f t="shared" ca="1" si="3"/>
        <v>0</v>
      </c>
      <c r="N20" s="3">
        <f t="shared" ca="1" si="3"/>
        <v>0</v>
      </c>
      <c r="O20" s="3">
        <f t="shared" ca="1" si="3"/>
        <v>0</v>
      </c>
    </row>
    <row r="21" spans="1:70" x14ac:dyDescent="0.2">
      <c r="A21" s="4">
        <f>IFERROR(DATE([1]总!$A$1, 9, ROW(A20)), "")</f>
        <v>46285</v>
      </c>
      <c r="B21" s="7">
        <f t="shared" si="2"/>
        <v>46285</v>
      </c>
      <c r="C21" s="8">
        <f t="shared" ca="1" si="1"/>
        <v>0</v>
      </c>
      <c r="D21" s="9">
        <f t="shared" ca="1" si="3"/>
        <v>0</v>
      </c>
      <c r="E21" s="9">
        <f t="shared" ca="1" si="3"/>
        <v>0</v>
      </c>
      <c r="F21" s="9">
        <f t="shared" ca="1" si="3"/>
        <v>0</v>
      </c>
      <c r="G21" s="9">
        <f t="shared" ca="1" si="3"/>
        <v>0</v>
      </c>
      <c r="H21" s="9">
        <f t="shared" ca="1" si="3"/>
        <v>0</v>
      </c>
      <c r="I21" s="9">
        <f t="shared" ca="1" si="3"/>
        <v>0</v>
      </c>
      <c r="J21" s="9">
        <f t="shared" ca="1" si="3"/>
        <v>0</v>
      </c>
      <c r="K21" s="9">
        <f t="shared" ca="1" si="3"/>
        <v>0</v>
      </c>
      <c r="L21" s="9">
        <f t="shared" ca="1" si="3"/>
        <v>0</v>
      </c>
      <c r="M21" s="9">
        <f t="shared" ca="1" si="3"/>
        <v>0</v>
      </c>
      <c r="N21" s="9">
        <f t="shared" ca="1" si="3"/>
        <v>0</v>
      </c>
      <c r="O21" s="9">
        <f t="shared" ca="1" si="3"/>
        <v>0</v>
      </c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</row>
    <row r="22" spans="1:70" x14ac:dyDescent="0.2">
      <c r="A22" s="4">
        <f>IFERROR(DATE([1]总!$A$1, 9, ROW(A21)), "")</f>
        <v>46286</v>
      </c>
      <c r="B22" s="5">
        <f t="shared" si="2"/>
        <v>46286</v>
      </c>
      <c r="C22" s="6">
        <f t="shared" ca="1" si="1"/>
        <v>0</v>
      </c>
      <c r="D22" s="3">
        <f t="shared" ca="1" si="3"/>
        <v>0</v>
      </c>
      <c r="E22" s="3">
        <f t="shared" ca="1" si="3"/>
        <v>0</v>
      </c>
      <c r="F22" s="3">
        <f t="shared" ca="1" si="3"/>
        <v>0</v>
      </c>
      <c r="G22" s="3">
        <f t="shared" ca="1" si="3"/>
        <v>0</v>
      </c>
      <c r="H22" s="3">
        <f t="shared" ca="1" si="3"/>
        <v>0</v>
      </c>
      <c r="I22" s="3">
        <f t="shared" ca="1" si="3"/>
        <v>0</v>
      </c>
      <c r="J22" s="3">
        <f t="shared" ca="1" si="3"/>
        <v>0</v>
      </c>
      <c r="K22" s="3">
        <f t="shared" ca="1" si="3"/>
        <v>0</v>
      </c>
      <c r="L22" s="3">
        <f t="shared" ca="1" si="3"/>
        <v>0</v>
      </c>
      <c r="M22" s="3">
        <f t="shared" ca="1" si="3"/>
        <v>0</v>
      </c>
      <c r="N22" s="3">
        <f t="shared" ca="1" si="3"/>
        <v>0</v>
      </c>
      <c r="O22" s="3">
        <f t="shared" ca="1" si="3"/>
        <v>0</v>
      </c>
    </row>
    <row r="23" spans="1:70" x14ac:dyDescent="0.2">
      <c r="A23" s="4">
        <f>IFERROR(DATE([1]总!$A$1, 9, ROW(A22)), "")</f>
        <v>46287</v>
      </c>
      <c r="B23" s="7">
        <f t="shared" si="2"/>
        <v>46287</v>
      </c>
      <c r="C23" s="8">
        <f t="shared" ca="1" si="1"/>
        <v>0</v>
      </c>
      <c r="D23" s="9">
        <f t="shared" ca="1" si="3"/>
        <v>0</v>
      </c>
      <c r="E23" s="9">
        <f t="shared" ca="1" si="3"/>
        <v>0</v>
      </c>
      <c r="F23" s="9">
        <f t="shared" ca="1" si="3"/>
        <v>0</v>
      </c>
      <c r="G23" s="9">
        <f t="shared" ca="1" si="3"/>
        <v>0</v>
      </c>
      <c r="H23" s="9">
        <f t="shared" ca="1" si="3"/>
        <v>0</v>
      </c>
      <c r="I23" s="9">
        <f t="shared" ca="1" si="3"/>
        <v>0</v>
      </c>
      <c r="J23" s="9">
        <f t="shared" ca="1" si="3"/>
        <v>0</v>
      </c>
      <c r="K23" s="9">
        <f t="shared" ca="1" si="3"/>
        <v>0</v>
      </c>
      <c r="L23" s="9">
        <f t="shared" ca="1" si="3"/>
        <v>0</v>
      </c>
      <c r="M23" s="9">
        <f t="shared" ca="1" si="3"/>
        <v>0</v>
      </c>
      <c r="N23" s="9">
        <f t="shared" ca="1" si="3"/>
        <v>0</v>
      </c>
      <c r="O23" s="9">
        <f t="shared" ca="1" si="3"/>
        <v>0</v>
      </c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</row>
    <row r="24" spans="1:70" x14ac:dyDescent="0.2">
      <c r="A24" s="4">
        <f>IFERROR(DATE([1]总!$A$1, 9, ROW(A23)), "")</f>
        <v>46288</v>
      </c>
      <c r="B24" s="5">
        <f t="shared" si="2"/>
        <v>46288</v>
      </c>
      <c r="C24" s="6">
        <f t="shared" ca="1" si="1"/>
        <v>0</v>
      </c>
      <c r="D24" s="3">
        <f t="shared" ca="1" si="3"/>
        <v>0</v>
      </c>
      <c r="E24" s="3">
        <f t="shared" ca="1" si="3"/>
        <v>0</v>
      </c>
      <c r="F24" s="3">
        <f t="shared" ca="1" si="3"/>
        <v>0</v>
      </c>
      <c r="G24" s="3">
        <f t="shared" ca="1" si="3"/>
        <v>0</v>
      </c>
      <c r="H24" s="3">
        <f t="shared" ca="1" si="3"/>
        <v>0</v>
      </c>
      <c r="I24" s="3">
        <f t="shared" ca="1" si="3"/>
        <v>0</v>
      </c>
      <c r="J24" s="3">
        <f t="shared" ca="1" si="3"/>
        <v>0</v>
      </c>
      <c r="K24" s="3">
        <f t="shared" ca="1" si="3"/>
        <v>0</v>
      </c>
      <c r="L24" s="3">
        <f t="shared" ca="1" si="3"/>
        <v>0</v>
      </c>
      <c r="M24" s="3">
        <f t="shared" ca="1" si="3"/>
        <v>0</v>
      </c>
      <c r="N24" s="3">
        <f t="shared" ca="1" si="3"/>
        <v>0</v>
      </c>
      <c r="O24" s="3">
        <f t="shared" ca="1" si="3"/>
        <v>0</v>
      </c>
    </row>
    <row r="25" spans="1:70" x14ac:dyDescent="0.2">
      <c r="A25" s="4">
        <f>IFERROR(DATE([1]总!$A$1, 9, ROW(A24)), "")</f>
        <v>46289</v>
      </c>
      <c r="B25" s="7">
        <f t="shared" si="2"/>
        <v>46289</v>
      </c>
      <c r="C25" s="8">
        <f t="shared" ca="1" si="1"/>
        <v>141.69</v>
      </c>
      <c r="D25" s="9">
        <f t="shared" ca="1" si="3"/>
        <v>12</v>
      </c>
      <c r="E25" s="9">
        <f t="shared" ca="1" si="3"/>
        <v>0</v>
      </c>
      <c r="F25" s="9">
        <f t="shared" ca="1" si="3"/>
        <v>0</v>
      </c>
      <c r="G25" s="9">
        <f t="shared" ca="1" si="3"/>
        <v>31.69</v>
      </c>
      <c r="H25" s="9">
        <f t="shared" ca="1" si="3"/>
        <v>0</v>
      </c>
      <c r="I25" s="9">
        <f t="shared" ca="1" si="3"/>
        <v>0</v>
      </c>
      <c r="J25" s="9">
        <f t="shared" ca="1" si="3"/>
        <v>0</v>
      </c>
      <c r="K25" s="9">
        <f t="shared" ca="1" si="3"/>
        <v>0</v>
      </c>
      <c r="L25" s="9">
        <f t="shared" ca="1" si="3"/>
        <v>0</v>
      </c>
      <c r="M25" s="9">
        <f t="shared" ca="1" si="3"/>
        <v>0</v>
      </c>
      <c r="N25" s="9">
        <f t="shared" ca="1" si="3"/>
        <v>0</v>
      </c>
      <c r="O25" s="9">
        <f t="shared" ca="1" si="3"/>
        <v>98</v>
      </c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 t="s">
        <v>21</v>
      </c>
      <c r="AJ25" s="9">
        <f>18.98+12.71</f>
        <v>31.69</v>
      </c>
      <c r="AK25" s="9"/>
      <c r="AL25" s="9"/>
      <c r="AM25" s="9"/>
      <c r="AN25" s="9"/>
      <c r="AO25" s="9" t="s">
        <v>19</v>
      </c>
      <c r="AP25" s="9">
        <v>12</v>
      </c>
      <c r="AQ25" s="9"/>
      <c r="AR25" s="9"/>
      <c r="AS25" s="9"/>
      <c r="AT25" s="9"/>
      <c r="AU25" s="9" t="s">
        <v>20</v>
      </c>
      <c r="AV25" s="9">
        <v>98</v>
      </c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</row>
    <row r="26" spans="1:70" x14ac:dyDescent="0.2">
      <c r="A26" s="4">
        <f>IFERROR(DATE([1]总!$A$1, 9, ROW(A25)), "")</f>
        <v>46290</v>
      </c>
      <c r="B26" s="5">
        <f t="shared" si="2"/>
        <v>46290</v>
      </c>
      <c r="C26" s="6">
        <f t="shared" ca="1" si="1"/>
        <v>0</v>
      </c>
      <c r="D26" s="3">
        <f t="shared" ca="1" si="3"/>
        <v>0</v>
      </c>
      <c r="E26" s="3">
        <f t="shared" ca="1" si="3"/>
        <v>0</v>
      </c>
      <c r="F26" s="3">
        <f t="shared" ca="1" si="3"/>
        <v>0</v>
      </c>
      <c r="G26" s="3">
        <f t="shared" ca="1" si="3"/>
        <v>0</v>
      </c>
      <c r="H26" s="3">
        <f t="shared" ca="1" si="3"/>
        <v>0</v>
      </c>
      <c r="I26" s="3">
        <f t="shared" ca="1" si="3"/>
        <v>0</v>
      </c>
      <c r="J26" s="3">
        <f t="shared" ca="1" si="3"/>
        <v>0</v>
      </c>
      <c r="K26" s="3">
        <f t="shared" ca="1" si="3"/>
        <v>0</v>
      </c>
      <c r="L26" s="3">
        <f t="shared" ca="1" si="3"/>
        <v>0</v>
      </c>
      <c r="M26" s="3">
        <f t="shared" ca="1" si="3"/>
        <v>0</v>
      </c>
      <c r="N26" s="3">
        <f t="shared" ca="1" si="3"/>
        <v>0</v>
      </c>
      <c r="O26" s="3">
        <f t="shared" ca="1" si="3"/>
        <v>0</v>
      </c>
    </row>
    <row r="27" spans="1:70" x14ac:dyDescent="0.2">
      <c r="A27" s="4">
        <f>IFERROR(DATE([1]总!$A$1, 9, ROW(A26)), "")</f>
        <v>46291</v>
      </c>
      <c r="B27" s="7">
        <f t="shared" si="2"/>
        <v>46291</v>
      </c>
      <c r="C27" s="8">
        <f t="shared" ca="1" si="1"/>
        <v>0</v>
      </c>
      <c r="D27" s="9">
        <f t="shared" ca="1" si="3"/>
        <v>0</v>
      </c>
      <c r="E27" s="9">
        <f t="shared" ca="1" si="3"/>
        <v>0</v>
      </c>
      <c r="F27" s="9">
        <f t="shared" ca="1" si="3"/>
        <v>0</v>
      </c>
      <c r="G27" s="9">
        <f t="shared" ca="1" si="3"/>
        <v>0</v>
      </c>
      <c r="H27" s="9">
        <f t="shared" ca="1" si="3"/>
        <v>0</v>
      </c>
      <c r="I27" s="9">
        <f t="shared" ca="1" si="3"/>
        <v>0</v>
      </c>
      <c r="J27" s="9">
        <f t="shared" ca="1" si="3"/>
        <v>0</v>
      </c>
      <c r="K27" s="9">
        <f t="shared" ca="1" si="3"/>
        <v>0</v>
      </c>
      <c r="L27" s="9">
        <f t="shared" ca="1" si="3"/>
        <v>0</v>
      </c>
      <c r="M27" s="9">
        <f t="shared" ca="1" si="3"/>
        <v>0</v>
      </c>
      <c r="N27" s="9">
        <f t="shared" ca="1" si="3"/>
        <v>0</v>
      </c>
      <c r="O27" s="9">
        <f t="shared" ca="1" si="3"/>
        <v>0</v>
      </c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</row>
    <row r="28" spans="1:70" x14ac:dyDescent="0.2">
      <c r="A28" s="4">
        <f>IFERROR(DATE([1]总!$A$1, 9, ROW(A27)), "")</f>
        <v>46292</v>
      </c>
      <c r="B28" s="5">
        <f t="shared" si="2"/>
        <v>46292</v>
      </c>
      <c r="C28" s="6">
        <f t="shared" ca="1" si="1"/>
        <v>0</v>
      </c>
      <c r="D28" s="3">
        <f t="shared" ca="1" si="3"/>
        <v>0</v>
      </c>
      <c r="E28" s="3">
        <f t="shared" ca="1" si="3"/>
        <v>0</v>
      </c>
      <c r="F28" s="3">
        <f t="shared" ca="1" si="3"/>
        <v>0</v>
      </c>
      <c r="G28" s="3">
        <f t="shared" ca="1" si="3"/>
        <v>0</v>
      </c>
      <c r="H28" s="3">
        <f t="shared" ca="1" si="3"/>
        <v>0</v>
      </c>
      <c r="I28" s="3">
        <f t="shared" ca="1" si="3"/>
        <v>0</v>
      </c>
      <c r="J28" s="3">
        <f t="shared" ca="1" si="3"/>
        <v>0</v>
      </c>
      <c r="K28" s="3">
        <f t="shared" ca="1" si="3"/>
        <v>0</v>
      </c>
      <c r="L28" s="3">
        <f t="shared" ca="1" si="3"/>
        <v>0</v>
      </c>
      <c r="M28" s="3">
        <f t="shared" ca="1" si="3"/>
        <v>0</v>
      </c>
      <c r="N28" s="3">
        <f t="shared" ca="1" si="3"/>
        <v>0</v>
      </c>
      <c r="O28" s="3">
        <f t="shared" ca="1" si="3"/>
        <v>0</v>
      </c>
    </row>
    <row r="29" spans="1:70" x14ac:dyDescent="0.2">
      <c r="A29" s="4">
        <f>IFERROR(DATE([1]总!$A$1, 9, ROW(A28)), "")</f>
        <v>46293</v>
      </c>
      <c r="B29" s="7">
        <f t="shared" si="2"/>
        <v>46293</v>
      </c>
      <c r="C29" s="8">
        <f t="shared" ca="1" si="1"/>
        <v>0</v>
      </c>
      <c r="D29" s="9">
        <f t="shared" ca="1" si="3"/>
        <v>0</v>
      </c>
      <c r="E29" s="9">
        <f t="shared" ca="1" si="3"/>
        <v>0</v>
      </c>
      <c r="F29" s="9">
        <f t="shared" ca="1" si="3"/>
        <v>0</v>
      </c>
      <c r="G29" s="9">
        <f t="shared" ca="1" si="3"/>
        <v>0</v>
      </c>
      <c r="H29" s="9">
        <f t="shared" ca="1" si="3"/>
        <v>0</v>
      </c>
      <c r="I29" s="9">
        <f t="shared" ca="1" si="3"/>
        <v>0</v>
      </c>
      <c r="J29" s="9">
        <f t="shared" ca="1" si="3"/>
        <v>0</v>
      </c>
      <c r="K29" s="9">
        <f t="shared" ca="1" si="3"/>
        <v>0</v>
      </c>
      <c r="L29" s="9">
        <f t="shared" ca="1" si="3"/>
        <v>0</v>
      </c>
      <c r="M29" s="9">
        <f t="shared" ca="1" si="3"/>
        <v>0</v>
      </c>
      <c r="N29" s="9">
        <f t="shared" ca="1" si="3"/>
        <v>0</v>
      </c>
      <c r="O29" s="9">
        <f t="shared" ca="1" si="3"/>
        <v>0</v>
      </c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</row>
    <row r="30" spans="1:70" x14ac:dyDescent="0.2">
      <c r="A30" s="4">
        <f>IFERROR(DATE([1]总!$A$1, 9, ROW(A29)), "")</f>
        <v>46294</v>
      </c>
      <c r="B30" s="5">
        <f t="shared" si="2"/>
        <v>46294</v>
      </c>
      <c r="C30" s="6">
        <f t="shared" ca="1" si="1"/>
        <v>0</v>
      </c>
      <c r="D30" s="3">
        <f t="shared" ca="1" si="3"/>
        <v>0</v>
      </c>
      <c r="E30" s="3">
        <f t="shared" ca="1" si="3"/>
        <v>0</v>
      </c>
      <c r="F30" s="3">
        <f t="shared" ca="1" si="3"/>
        <v>0</v>
      </c>
      <c r="G30" s="3">
        <f t="shared" ca="1" si="3"/>
        <v>0</v>
      </c>
      <c r="H30" s="3">
        <f t="shared" ca="1" si="3"/>
        <v>0</v>
      </c>
      <c r="I30" s="3">
        <f t="shared" ca="1" si="3"/>
        <v>0</v>
      </c>
      <c r="J30" s="3">
        <f t="shared" ca="1" si="3"/>
        <v>0</v>
      </c>
      <c r="K30" s="3">
        <f t="shared" ca="1" si="3"/>
        <v>0</v>
      </c>
      <c r="L30" s="3">
        <f t="shared" ca="1" si="3"/>
        <v>0</v>
      </c>
      <c r="M30" s="3">
        <f t="shared" ca="1" si="3"/>
        <v>0</v>
      </c>
      <c r="N30" s="3">
        <f t="shared" ca="1" si="3"/>
        <v>0</v>
      </c>
      <c r="O30" s="3">
        <f t="shared" ca="1" si="3"/>
        <v>0</v>
      </c>
    </row>
    <row r="31" spans="1:70" x14ac:dyDescent="0.2">
      <c r="A31" s="4">
        <f>IFERROR(DATE([1]总!$A$1, 9, ROW(A30)), "")</f>
        <v>46295</v>
      </c>
      <c r="B31" s="7">
        <f t="shared" si="2"/>
        <v>46295</v>
      </c>
      <c r="C31" s="8">
        <f t="shared" ca="1" si="1"/>
        <v>0</v>
      </c>
      <c r="D31" s="9">
        <f t="shared" ca="1" si="3"/>
        <v>0</v>
      </c>
      <c r="E31" s="9">
        <f t="shared" ca="1" si="3"/>
        <v>0</v>
      </c>
      <c r="F31" s="9">
        <f t="shared" ca="1" si="3"/>
        <v>0</v>
      </c>
      <c r="G31" s="9">
        <f t="shared" ca="1" si="3"/>
        <v>0</v>
      </c>
      <c r="H31" s="9">
        <f t="shared" ca="1" si="3"/>
        <v>0</v>
      </c>
      <c r="I31" s="9">
        <f t="shared" ca="1" si="3"/>
        <v>0</v>
      </c>
      <c r="J31" s="9">
        <f t="shared" ca="1" si="3"/>
        <v>0</v>
      </c>
      <c r="K31" s="9">
        <f t="shared" ca="1" si="3"/>
        <v>0</v>
      </c>
      <c r="L31" s="9">
        <f t="shared" ca="1" si="3"/>
        <v>0</v>
      </c>
      <c r="M31" s="9">
        <f t="shared" ca="1" si="3"/>
        <v>0</v>
      </c>
      <c r="N31" s="9">
        <f t="shared" ca="1" si="3"/>
        <v>0</v>
      </c>
      <c r="O31" s="9">
        <f t="shared" ca="1" si="3"/>
        <v>0</v>
      </c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</row>
    <row r="32" spans="1:70" x14ac:dyDescent="0.2">
      <c r="A32" s="4">
        <f>IFERROR(DATE([1]总!$A$1, 9, ROW(A31)), "")</f>
        <v>46296</v>
      </c>
      <c r="B32" s="5">
        <f t="shared" si="2"/>
        <v>46296</v>
      </c>
      <c r="C32" s="10">
        <f t="shared" ca="1" si="1"/>
        <v>0</v>
      </c>
      <c r="D32" s="11">
        <f t="shared" ca="1" si="3"/>
        <v>0</v>
      </c>
      <c r="E32" s="11">
        <f t="shared" ca="1" si="3"/>
        <v>0</v>
      </c>
      <c r="F32" s="11">
        <f t="shared" ca="1" si="3"/>
        <v>0</v>
      </c>
      <c r="G32" s="11">
        <f t="shared" ca="1" si="3"/>
        <v>0</v>
      </c>
      <c r="H32" s="11">
        <f t="shared" ca="1" si="3"/>
        <v>0</v>
      </c>
      <c r="I32" s="11">
        <f t="shared" ca="1" si="3"/>
        <v>0</v>
      </c>
      <c r="J32" s="11">
        <f t="shared" ca="1" si="3"/>
        <v>0</v>
      </c>
      <c r="K32" s="11">
        <f t="shared" ca="1" si="3"/>
        <v>0</v>
      </c>
      <c r="L32" s="11">
        <f t="shared" ca="1" si="3"/>
        <v>0</v>
      </c>
      <c r="M32" s="11">
        <f t="shared" ca="1" si="3"/>
        <v>0</v>
      </c>
      <c r="N32" s="11">
        <f t="shared" ca="1" si="3"/>
        <v>0</v>
      </c>
      <c r="O32" s="11">
        <f t="shared" ca="1" si="3"/>
        <v>0</v>
      </c>
    </row>
    <row r="33" spans="1:15" x14ac:dyDescent="0.2">
      <c r="A33" s="4"/>
      <c r="B33" s="5"/>
      <c r="D33" s="3" t="s">
        <v>1</v>
      </c>
      <c r="E33" s="3" t="s">
        <v>2</v>
      </c>
      <c r="F33" s="3" t="s">
        <v>3</v>
      </c>
      <c r="G33" s="3" t="s">
        <v>4</v>
      </c>
      <c r="H33" s="3" t="s">
        <v>5</v>
      </c>
      <c r="I33" s="3" t="s">
        <v>6</v>
      </c>
      <c r="J33" s="3" t="s">
        <v>7</v>
      </c>
      <c r="K33" s="3" t="s">
        <v>8</v>
      </c>
      <c r="L33" s="3" t="s">
        <v>9</v>
      </c>
      <c r="M33" s="3" t="s">
        <v>10</v>
      </c>
      <c r="N33" s="3" t="s">
        <v>11</v>
      </c>
      <c r="O33" s="3" t="s">
        <v>12</v>
      </c>
    </row>
    <row r="34" spans="1:15" x14ac:dyDescent="0.2">
      <c r="A34" s="1">
        <f ca="1">SUM(D34:O34)</f>
        <v>166.69</v>
      </c>
      <c r="B34" s="5"/>
      <c r="D34" s="3">
        <f ca="1">SUM(D2:D32)</f>
        <v>12</v>
      </c>
      <c r="E34" s="3">
        <f ca="1">SUM(E2:E32)</f>
        <v>0</v>
      </c>
      <c r="F34" s="3">
        <f t="shared" ref="F34:O34" ca="1" si="4">SUM(F2:F32)</f>
        <v>0</v>
      </c>
      <c r="G34" s="3">
        <f t="shared" ca="1" si="4"/>
        <v>31.69</v>
      </c>
      <c r="H34" s="3">
        <f t="shared" ca="1" si="4"/>
        <v>25</v>
      </c>
      <c r="I34" s="3">
        <f t="shared" ca="1" si="4"/>
        <v>0</v>
      </c>
      <c r="J34" s="3">
        <f t="shared" ca="1" si="4"/>
        <v>0</v>
      </c>
      <c r="K34" s="3">
        <f t="shared" ca="1" si="4"/>
        <v>0</v>
      </c>
      <c r="L34" s="3">
        <f t="shared" ca="1" si="4"/>
        <v>0</v>
      </c>
      <c r="M34" s="3">
        <f t="shared" ca="1" si="4"/>
        <v>0</v>
      </c>
      <c r="N34" s="3">
        <f t="shared" ca="1" si="4"/>
        <v>0</v>
      </c>
      <c r="O34" s="3">
        <f t="shared" ca="1" si="4"/>
        <v>98</v>
      </c>
    </row>
    <row r="35" spans="1:15" x14ac:dyDescent="0.2">
      <c r="B35" s="3" t="s">
        <v>22</v>
      </c>
      <c r="C35" s="2">
        <f ca="1">C38/C39</f>
        <v>83.344999999999999</v>
      </c>
    </row>
    <row r="36" spans="1:15" x14ac:dyDescent="0.2">
      <c r="B36" s="3" t="s">
        <v>23</v>
      </c>
      <c r="C36" s="3">
        <f>A1/31</f>
        <v>0</v>
      </c>
    </row>
    <row r="37" spans="1:15" x14ac:dyDescent="0.2">
      <c r="A37" s="3" t="s">
        <v>24</v>
      </c>
      <c r="B37" s="12">
        <f ca="1">2000-A34</f>
        <v>1833.31</v>
      </c>
    </row>
    <row r="38" spans="1:15" x14ac:dyDescent="0.2">
      <c r="B38" s="3" t="s">
        <v>25</v>
      </c>
      <c r="C38" s="3">
        <f ca="1">SUM(C2:C32)</f>
        <v>166.69</v>
      </c>
    </row>
    <row r="39" spans="1:15" x14ac:dyDescent="0.2">
      <c r="C39" s="3">
        <f ca="1">COUNTIF(C2:C31, "&lt;&gt;0")</f>
        <v>2</v>
      </c>
    </row>
  </sheetData>
  <phoneticPr fontId="2" type="noConversion"/>
  <conditionalFormatting sqref="A2:FO32 A33:C33 P33:FO33">
    <cfRule type="expression" dxfId="4" priority="4">
      <formula>$A2=TODAY()</formula>
    </cfRule>
  </conditionalFormatting>
  <conditionalFormatting sqref="B35">
    <cfRule type="expression" dxfId="3" priority="5">
      <formula>$B37=TODAY()</formula>
    </cfRule>
  </conditionalFormatting>
  <conditionalFormatting sqref="B35:C35 B38:C38">
    <cfRule type="expression" dxfId="2" priority="3">
      <formula>#REF!=TODAY()</formula>
    </cfRule>
  </conditionalFormatting>
  <conditionalFormatting sqref="B34:FO34">
    <cfRule type="expression" dxfId="1" priority="6">
      <formula>#REF!=TODAY()</formula>
    </cfRule>
  </conditionalFormatting>
  <conditionalFormatting sqref="C2:C34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{43374F8F-31DE-4FDA-82BE-39F4F36B2947}</x14:id>
        </ext>
      </extLst>
    </cfRule>
  </conditionalFormatting>
  <conditionalFormatting sqref="C39">
    <cfRule type="expression" dxfId="0" priority="1">
      <formula>#REF!=TODAY()</formula>
    </cfRule>
  </conditionalFormatting>
  <dataValidations count="2">
    <dataValidation type="list" allowBlank="1" showInputMessage="1" showErrorMessage="1" sqref="Q33:Q34 W2 W33:W34 AC33:AC34 AI33:AI34 AO33:AO34 AU33:AU34 BA33:BA34 BG33:BG34 BM33:BM34 BS33:BS34 BY33:BY34 CE33:CE34 CK33:CK34 CQ33:CQ34 CW33:CW34 DC33:DC34 DI33:DI34 DO33:DO34 DU33:DU34 EA33:EA34 EG33:EG34 EM33:EM34 ES33:ES34 EY33:EY34 FE33:FE34 FK33:FK34" xr:uid="{5BA213F6-82D1-4E7B-BCFB-DE1596B1E842}">
      <formula1>$D$1:$M$1</formula1>
    </dataValidation>
    <dataValidation type="list" allowBlank="1" showInputMessage="1" showErrorMessage="1" sqref="Q2:Q32 W3:W32 AC2:AC32 AI2:AI32 AO2:AO32 AU2:AU32 BA2:BA32 BM2:BM32 BY2:BY32 CK2:CK32 CW2:CW32 DI2:DI32 DU2:DU32 EG2:EG32 ES2:ES32 FE2:FE32 BG2:BG32 BS2:BS32 CE2:CE32 CQ2:CQ32 DC2:DC32 DO2:DO32 EA2:EA32 EM2:EM32 EY2:EY32 FK2:FK32" xr:uid="{37E6968C-F07A-467D-A0F6-28430D0F7CDE}">
      <formula1>$D$1:$O$1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374F8F-31DE-4FDA-82BE-39F4F36B29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C2:C34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DU3693 AIR</cp:lastModifiedBy>
  <dcterms:created xsi:type="dcterms:W3CDTF">2015-06-05T18:19:34Z</dcterms:created>
  <dcterms:modified xsi:type="dcterms:W3CDTF">2026-10-26T08:51:32Z</dcterms:modified>
</cp:coreProperties>
</file>